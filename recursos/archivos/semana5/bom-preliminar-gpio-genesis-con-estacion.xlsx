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Software (1a iteración)" sheetId="2" state="visible" r:id="rId4"/>
    <sheet name="Estación (fase 2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<sst xmlns="http://schemas.openxmlformats.org/spreadsheetml/2006/main" count="196" uniqueCount="168">
  <si>
    <t xml:space="preserve">BOM preliminar — GPIO Génesis · Semana 5 · 24-sep-2026</t>
  </si>
  <si>
    <t xml:space="preserve">Celdas en azul = datos que se pueden cambiar. Celdas amarillas = supuestos que todavía hay que validar. Todo lo demás son fórmulas.</t>
  </si>
  <si>
    <t xml:space="preserve">Parámetro</t>
  </si>
  <si>
    <t xml:space="preserve">Valor</t>
  </si>
  <si>
    <t xml:space="preserve">Unidad</t>
  </si>
  <si>
    <t xml:space="preserve">Fuente / nota</t>
  </si>
  <si>
    <t xml:space="preserve">Tipo de cambio</t>
  </si>
  <si>
    <t xml:space="preserve">MXN por USD</t>
  </si>
  <si>
    <t xml:space="preserve">FIX promedio 24-sep-2026 (17.5001), eldolar.info con dato de Banxico</t>
  </si>
  <si>
    <t xml:space="preserve">Claude Haiku 4.5 — entrada</t>
  </si>
  <si>
    <t xml:space="preserve">USD por millón de tokens</t>
  </si>
  <si>
    <t xml:space="preserve">platform.claude.com/docs/en/about-claude/pricing (consultado 24-sep-2026)</t>
  </si>
  <si>
    <t xml:space="preserve">Claude Haiku 4.5 — salida</t>
  </si>
  <si>
    <t xml:space="preserve">Misma fuente</t>
  </si>
  <si>
    <t xml:space="preserve">Tokens de entrada por consulta</t>
  </si>
  <si>
    <t xml:space="preserve">tokens</t>
  </si>
  <si>
    <t xml:space="preserve">SUPUESTO: prompt de sistema ~1,500 + código ~800 + errores y traza ~700</t>
  </si>
  <si>
    <t xml:space="preserve">Tokens de salida por consulta</t>
  </si>
  <si>
    <t xml:space="preserve">SUPUESTO: explicación + pista en JSON</t>
  </si>
  <si>
    <t xml:space="preserve">Consultas a la nube por jugador (campaña completa)</t>
  </si>
  <si>
    <t xml:space="preserve">consultas</t>
  </si>
  <si>
    <t xml:space="preserve">SUPUESTO: ~15 por hora × ~20 horas de juego, sin descontar las que resuelve la capa local</t>
  </si>
  <si>
    <t xml:space="preserve">Jugadores en el piloto (semana 13)</t>
  </si>
  <si>
    <t xml:space="preserve">jugadores</t>
  </si>
  <si>
    <t xml:space="preserve">Meta de prueba con usuarios reales</t>
  </si>
  <si>
    <t xml:space="preserve">Precio del juego</t>
  </si>
  <si>
    <t xml:space="preserve">MXN</t>
  </si>
  <si>
    <t xml:space="preserve">Punto medio del rango 199–299 MXN (semana 4)</t>
  </si>
  <si>
    <t xml:space="preserve">Comisión de la tienda</t>
  </si>
  <si>
    <t xml:space="preserve">fracción</t>
  </si>
  <si>
    <t xml:space="preserve">Steam cobra 30%; en itch.io el reparto lo elige el vendedor (conservador: 30%)</t>
  </si>
  <si>
    <t xml:space="preserve">Regla de costo de materiales (hardware)</t>
  </si>
  <si>
    <t xml:space="preserve">fracción del precio</t>
  </si>
  <si>
    <t xml:space="preserve">Regla del curso: costo de materiales ≤ 30% del precio de venta</t>
  </si>
  <si>
    <t xml:space="preserve">Costos de la first-iteration (solo software) y costo de la IA por jugador</t>
  </si>
  <si>
    <t xml:space="preserve">Concepto</t>
  </si>
  <si>
    <t xml:space="preserve">Proveedor</t>
  </si>
  <si>
    <t xml:space="preserve">Costo USD</t>
  </si>
  <si>
    <t xml:space="preserve">Costo MXN</t>
  </si>
  <si>
    <t xml:space="preserve">Cuándo se paga</t>
  </si>
  <si>
    <t xml:space="preserve">Motor del juego</t>
  </si>
  <si>
    <t xml:space="preserve">Godot 4 (licencia MIT)</t>
  </si>
  <si>
    <t xml:space="preserve">—</t>
  </si>
  <si>
    <t xml:space="preserve">Sin costo; sin regalías</t>
  </si>
  <si>
    <t xml:space="preserve">Compilador del jugador</t>
  </si>
  <si>
    <t xml:space="preserve">wasi-sdk / clang (Apache 2.0 + excepción LLVM)</t>
  </si>
  <si>
    <t xml:space="preserve">Se incluye en el instalador</t>
  </si>
  <si>
    <t xml:space="preserve">Runtime WebAssembly</t>
  </si>
  <si>
    <t xml:space="preserve">WAMR (Apache 2.0)</t>
  </si>
  <si>
    <t xml:space="preserve">Se enlaza al juego vía GDExtension</t>
  </si>
  <si>
    <t xml:space="preserve">Backend: Auth + Postgres + Edge Functions</t>
  </si>
  <si>
    <t xml:space="preserve">Supabase plan Free</t>
  </si>
  <si>
    <t xml:space="preserve">Piloto</t>
  </si>
  <si>
    <t xml:space="preserve">Free: 500 MB de BD, 50,000 MAU, 500,000 invocaciones; el proyecto se pausa tras 1 semana sin actividad (supabase.com/pricing)</t>
  </si>
  <si>
    <t xml:space="preserve">Copiloto IA durante el piloto</t>
  </si>
  <si>
    <t xml:space="preserve">Anthropic — Claude Haiku 4.5</t>
  </si>
  <si>
    <t xml:space="preserve">Jugadores del piloto × costo de IA por jugador (abajo). Poner límite de gasto en la consola</t>
  </si>
  <si>
    <t xml:space="preserve">Página de venta</t>
  </si>
  <si>
    <t xml:space="preserve">GitHub Pages</t>
  </si>
  <si>
    <t xml:space="preserve">Ya lo usamos para esta bitácora</t>
  </si>
  <si>
    <t xml:space="preserve">Distribución de la demo</t>
  </si>
  <si>
    <t xml:space="preserve">itch.io</t>
  </si>
  <si>
    <t xml:space="preserve">Sin cuota de alta</t>
  </si>
  <si>
    <t xml:space="preserve">Dominio gpiogenesis.com</t>
  </si>
  <si>
    <t xml:space="preserve">Registrador por definir</t>
  </si>
  <si>
    <t xml:space="preserve">Al lanzar</t>
  </si>
  <si>
    <t xml:space="preserve">ESTIMADO sin cotizar (~USD 15/año). En semana 3 el dominio estaba libre</t>
  </si>
  <si>
    <t xml:space="preserve">Backend en producción</t>
  </si>
  <si>
    <t xml:space="preserve">Supabase plan Pro</t>
  </si>
  <si>
    <t xml:space="preserve">Al lanzar (mensual)</t>
  </si>
  <si>
    <t xml:space="preserve">USD 25/mes; evita la pausa por inactividad (supabase.com/pricing)</t>
  </si>
  <si>
    <t xml:space="preserve">Alta en Steam</t>
  </si>
  <si>
    <t xml:space="preserve">Steam Direct</t>
  </si>
  <si>
    <t xml:space="preserve">USD 100 por juego, recuperable después de USD 1,000 en ventas (partner.steamgames.com)</t>
  </si>
  <si>
    <t xml:space="preserve">Total para llegar al piloto (semana 13)</t>
  </si>
  <si>
    <t xml:space="preserve">Total para el lanzamiento público (pagos únicos + 1 mes de backend)</t>
  </si>
  <si>
    <t xml:space="preserve">Costo de la IA por jugador</t>
  </si>
  <si>
    <t xml:space="preserve">Costo por consulta (USD)</t>
  </si>
  <si>
    <t xml:space="preserve">Costo por consulta (MXN)</t>
  </si>
  <si>
    <t xml:space="preserve">Costo de IA por jugador, campaña completa (USD)</t>
  </si>
  <si>
    <t xml:space="preserve">Costo de IA por jugador (MXN)</t>
  </si>
  <si>
    <t xml:space="preserve">Ingreso neto por copia (MXN)</t>
  </si>
  <si>
    <t xml:space="preserve">IA como % del ingreso neto</t>
  </si>
  <si>
    <t xml:space="preserve">Si la API sube 10×: IA como % del ingreso neto</t>
  </si>
  <si>
    <t xml:space="preserve">Consultas por jugador para que la IA sea ≤10% del ingreso neto (con precio actual)</t>
  </si>
  <si>
    <t xml:space="preserve">Nota: el costo real baja si (a) la capa local resuelve una parte de los errores, (b) se usa caché de prompt (lectura de caché de Haiku 4.5: USD 0.10 por millón) y (c) se reutilizan explicaciones de errores idénticos.</t>
  </si>
  <si>
    <t xml:space="preserve">BOM preliminar de la estación de pruebas (fase 2, fuera de la first-iteration) — precios en tiendas de México, 24-sep-2026</t>
  </si>
  <si>
    <t xml:space="preserve">Componente</t>
  </si>
  <si>
    <t xml:space="preserve">Especificación</t>
  </si>
  <si>
    <t xml:space="preserve">Tienda (MX)</t>
  </si>
  <si>
    <t xml:space="preserve">URL</t>
  </si>
  <si>
    <t xml:space="preserve">Precio 1 pza (MXN)</t>
  </si>
  <si>
    <t xml:space="preserve">Precio c/u a volumen (MXN)</t>
  </si>
  <si>
    <t xml:space="preserve">Cant. por estación</t>
  </si>
  <si>
    <t xml:space="preserve">Subtotal por estación (MXN)</t>
  </si>
  <si>
    <t xml:space="preserve">Disponibilidad</t>
  </si>
  <si>
    <t xml:space="preserve">Dato</t>
  </si>
  <si>
    <t xml:space="preserve">Plan B</t>
  </si>
  <si>
    <t xml:space="preserve">ESP32-S3 (placa de desarrollo) ★</t>
  </si>
  <si>
    <t xml:space="preserve">ESP32-S3 doble USB-C, WROOM-1</t>
  </si>
  <si>
    <t xml:space="preserve">UNIT Electronics</t>
  </si>
  <si>
    <t xml:space="preserve">https://uelectronics.com/categoria-producto/tarjetas-desarrollo/esp32/</t>
  </si>
  <si>
    <t xml:space="preserve">En catálogo ($159–188 según versión)</t>
  </si>
  <si>
    <t xml:space="preserve">Verificado</t>
  </si>
  <si>
    <t xml:space="preserve">ESP32-S3-WROOM-1-N8R8 suelto ($152) sobre PCB propia; ESP32-C6 (RISC-V) si se quiere usar el mismo clang</t>
  </si>
  <si>
    <t xml:space="preserve">Motorreductor N20 ★</t>
  </si>
  <si>
    <t xml:space="preserve">N20 metálico 6 V, 50–500 RPM</t>
  </si>
  <si>
    <t xml:space="preserve">Geek Factory</t>
  </si>
  <si>
    <t xml:space="preserve">https://www.geekfactory.mx/producto/micro-motorreductor-n20-metalico/</t>
  </si>
  <si>
    <t xml:space="preserve">En catálogo</t>
  </si>
  <si>
    <t xml:space="preserve">GA12-N20 de otras tiendas</t>
  </si>
  <si>
    <t xml:space="preserve">Encoder para el N20 ★ (el más difícil)</t>
  </si>
  <si>
    <t xml:space="preserve">Óptico DFRobot SEN0116, 12 pulsos/vuelta</t>
  </si>
  <si>
    <t xml:space="preserve">https://www.geekfactory.mx/producto/encoder-para-micro-motorreductor-metalico-n20/</t>
  </si>
  <si>
    <t xml:space="preserve">En existencia. El N20 con encoder Hall integrado estaba AGOTADO en ByMechatronics y MKtronik</t>
  </si>
  <si>
    <t xml:space="preserve">N20 con encoder Hall por AliExpress (3–4 semanas) o disco ranurado + sensor óptico impreso en 3D</t>
  </si>
  <si>
    <t xml:space="preserve">Driver de motor</t>
  </si>
  <si>
    <t xml:space="preserve">TB6612FNG doble puente H, 1 A</t>
  </si>
  <si>
    <t xml:space="preserve">https://www.geekfactory.mx/producto/tb6612fng-puente-h-doble-controlador-de-motor/</t>
  </si>
  <si>
    <t xml:space="preserve">En existencia</t>
  </si>
  <si>
    <t xml:space="preserve">DRV8833</t>
  </si>
  <si>
    <t xml:space="preserve">IMU</t>
  </si>
  <si>
    <t xml:space="preserve">MPU-6050 acelerómetro + giroscopio, I²C</t>
  </si>
  <si>
    <t xml:space="preserve">Sandorobotics</t>
  </si>
  <si>
    <t xml:space="preserve">https://sandorobotics.com.mx/producto/hr0044/</t>
  </si>
  <si>
    <t xml:space="preserve">14 pzas en existencia</t>
  </si>
  <si>
    <t xml:space="preserve">MPU-6050 es un chip descontinuado (hay clones); a futuro BMI160/ICM-42688</t>
  </si>
  <si>
    <t xml:space="preserve">Sensor de corriente</t>
  </si>
  <si>
    <t xml:space="preserve">INA219, I²C, 0–3.2 A</t>
  </si>
  <si>
    <t xml:space="preserve">https://uelectronics.com/producto/ina219-sensor-corriente-3v-5v-i2c/</t>
  </si>
  <si>
    <t xml:space="preserve">28 pzas en existencia</t>
  </si>
  <si>
    <t xml:space="preserve">INA226</t>
  </si>
  <si>
    <t xml:space="preserve">Servomotor</t>
  </si>
  <si>
    <t xml:space="preserve">SG90 9 g, 0–180°</t>
  </si>
  <si>
    <t xml:space="preserve">https://uelectronics.com/producto/servomotor-sg90-rc-9g/</t>
  </si>
  <si>
    <t xml:space="preserve">Miles en existencia</t>
  </si>
  <si>
    <t xml:space="preserve">MG90S (engranes metálicos)</t>
  </si>
  <si>
    <t xml:space="preserve">Pantalla</t>
  </si>
  <si>
    <t xml:space="preserve">OLED 0.96" 128×64 I²C</t>
  </si>
  <si>
    <t xml:space="preserve">https://uelectronics.com/producto/display-oled-azul-y-blanco-128x64-0-96-i2c-ssd1306/</t>
  </si>
  <si>
    <t xml:space="preserve">En catálogo ($69–76 según color)</t>
  </si>
  <si>
    <t xml:space="preserve">LEDs de estado solamente</t>
  </si>
  <si>
    <t xml:space="preserve">PCB portadora de módulos</t>
  </si>
  <si>
    <t xml:space="preserve">2 capas, sin PCBA; módulos con headers THT</t>
  </si>
  <si>
    <t xml:space="preserve">JLCPCB</t>
  </si>
  <si>
    <t xml:space="preserve">https://jlcpcb.com</t>
  </si>
  <si>
    <t xml:space="preserve">Fabricación + envío ~1–2 semanas</t>
  </si>
  <si>
    <t xml:space="preserve">ESTIMADO</t>
  </si>
  <si>
    <t xml:space="preserve">Placa perforada en las primeras 3 unidades</t>
  </si>
  <si>
    <t xml:space="preserve">Base y carcasa</t>
  </si>
  <si>
    <t xml:space="preserve">PLA impreso en 3D, ~150 g</t>
  </si>
  <si>
    <t xml:space="preserve">Impresión propia</t>
  </si>
  <si>
    <t xml:space="preserve">Inmediata</t>
  </si>
  <si>
    <t xml:space="preserve">Acrílico cortado a láser</t>
  </si>
  <si>
    <t xml:space="preserve">Conectores, LEDs, botones, tornillería</t>
  </si>
  <si>
    <t xml:space="preserve">Headers, JST, 3 LEDs, 2 botones, M2/M3</t>
  </si>
  <si>
    <t xml:space="preserve">Varias</t>
  </si>
  <si>
    <t xml:space="preserve">Alimentación</t>
  </si>
  <si>
    <t xml:space="preserve">Fuente 5 V 2 A USB-C + cable de datos</t>
  </si>
  <si>
    <t xml:space="preserve">Un puerto USB de PC da 500 mA: no alcanza para motor + servo</t>
  </si>
  <si>
    <t xml:space="preserve">Unidades de la primera tirada</t>
  </si>
  <si>
    <t xml:space="preserve">BOM por estación (volumen 10)</t>
  </si>
  <si>
    <t xml:space="preserve">BOM total de la tirada</t>
  </si>
  <si>
    <t xml:space="preserve">Precio de venta mínimo por estación (BOM ÷ 30%)</t>
  </si>
  <si>
    <t xml:space="preserve">Parte del BOM que es dato verificado</t>
  </si>
  <si>
    <t xml:space="preserve">¿Cabe en el presupuesto de prototipo del curso ($3,000 MXN)? (1 estación)</t>
  </si>
  <si>
    <t xml:space="preserve">★ = componente crítico (se analiza en la sección 5 de la página). Precios con IVA según cada tienda; el precio a volumen usa el descuento publicado por la tienda cuando existe.</t>
  </si>
  <si>
    <t xml:space="preserve">Referencia de mercado (semana 2): kits básicos de Arduino $600–900 MXN; Arduino Education Starter Kit ~$8,270 MXN. El segmento individual paga 100–400 MXN por el juego.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</si>
</sst>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&quot;US$&quot;#,##0.00;&quot;(US$&quot;#,##0.00\);\-"/>
    <numFmt numFmtId="167" formatCode="#,##0"/>
    <numFmt numFmtId="168" formatCode="\$#,##0.00;&quot;($&quot;#,##0.00\);\-"/>
    <numFmt numFmtId="169" formatCode="0.0%"/>
    <numFmt numFmtId="170" formatCode="&quot;US$&quot;#,##0.0000"/>
    <numFmt numFmtId="171" formatCode="\$#,##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91C1C"/>
        <bgColor rgb="FF993366"/>
      </patternFill>
    </fill>
    <fill>
      <patternFill patternType="solid">
        <fgColor rgb="FFFFF59D"/>
        <bgColor rgb="FFF3F4F6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17.5</v>
      </c>
      <c r="C5" s="4" t="s">
        <v>7</v>
      </c>
      <c r="D5" s="4" t="s">
        <v>8</v>
      </c>
    </row>
    <row r="6" customFormat="false" ht="15" hidden="false" customHeight="false" outlineLevel="0" collapsed="false">
      <c r="A6" s="4" t="s">
        <v>9</v>
      </c>
      <c r="B6" s="6" t="n">
        <v>1</v>
      </c>
      <c r="C6" s="4" t="s">
        <v>10</v>
      </c>
      <c r="D6" s="4" t="s">
        <v>11</v>
      </c>
    </row>
    <row r="7" customFormat="false" ht="15" hidden="false" customHeight="false" outlineLevel="0" collapsed="false">
      <c r="A7" s="4" t="s">
        <v>12</v>
      </c>
      <c r="B7" s="6" t="n">
        <v>5</v>
      </c>
      <c r="C7" s="4" t="s">
        <v>10</v>
      </c>
      <c r="D7" s="4" t="s">
        <v>13</v>
      </c>
    </row>
    <row r="8" customFormat="false" ht="15" hidden="false" customHeight="false" outlineLevel="0" collapsed="false">
      <c r="A8" s="4" t="s">
        <v>14</v>
      </c>
      <c r="B8" s="7" t="n">
        <v>3000</v>
      </c>
      <c r="C8" s="4" t="s">
        <v>15</v>
      </c>
      <c r="D8" s="4" t="s">
        <v>16</v>
      </c>
    </row>
    <row r="9" customFormat="false" ht="15" hidden="false" customHeight="false" outlineLevel="0" collapsed="false">
      <c r="A9" s="4" t="s">
        <v>17</v>
      </c>
      <c r="B9" s="7" t="n">
        <v>400</v>
      </c>
      <c r="C9" s="4" t="s">
        <v>15</v>
      </c>
      <c r="D9" s="4" t="s">
        <v>18</v>
      </c>
    </row>
    <row r="10" customFormat="false" ht="15" hidden="false" customHeight="false" outlineLevel="0" collapsed="false">
      <c r="A10" s="4" t="s">
        <v>19</v>
      </c>
      <c r="B10" s="7" t="n">
        <v>300</v>
      </c>
      <c r="C10" s="4" t="s">
        <v>20</v>
      </c>
      <c r="D10" s="4" t="s">
        <v>21</v>
      </c>
    </row>
    <row r="11" customFormat="false" ht="15" hidden="false" customHeight="false" outlineLevel="0" collapsed="false">
      <c r="A11" s="4" t="s">
        <v>22</v>
      </c>
      <c r="B11" s="8" t="n">
        <v>20</v>
      </c>
      <c r="C11" s="4" t="s">
        <v>23</v>
      </c>
      <c r="D11" s="4" t="s">
        <v>24</v>
      </c>
    </row>
    <row r="12" customFormat="false" ht="15" hidden="false" customHeight="false" outlineLevel="0" collapsed="false">
      <c r="A12" s="4" t="s">
        <v>25</v>
      </c>
      <c r="B12" s="9" t="n">
        <v>249</v>
      </c>
      <c r="C12" s="4" t="s">
        <v>26</v>
      </c>
      <c r="D12" s="4" t="s">
        <v>27</v>
      </c>
    </row>
    <row r="13" customFormat="false" ht="15" hidden="false" customHeight="false" outlineLevel="0" collapsed="false">
      <c r="A13" s="4" t="s">
        <v>28</v>
      </c>
      <c r="B13" s="10" t="n">
        <v>0.3</v>
      </c>
      <c r="C13" s="4" t="s">
        <v>29</v>
      </c>
      <c r="D13" s="4" t="s">
        <v>30</v>
      </c>
    </row>
    <row r="14" customFormat="false" ht="15" hidden="false" customHeight="false" outlineLevel="0" collapsed="false">
      <c r="A14" s="4" t="s">
        <v>31</v>
      </c>
      <c r="B14" s="10" t="n">
        <v>0.3</v>
      </c>
      <c r="C14" s="4" t="s">
        <v>32</v>
      </c>
      <c r="D14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44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100"/>
  </cols>
  <sheetData>
    <row r="1" customFormat="false" ht="16.15" hidden="false" customHeight="false" outlineLevel="0" collapsed="false">
      <c r="A1" s="11" t="s">
        <v>34</v>
      </c>
    </row>
    <row r="3" customFormat="false" ht="15" hidden="false" customHeight="false" outlineLevel="0" collapsed="false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5</v>
      </c>
    </row>
    <row r="4" customFormat="false" ht="15" hidden="false" customHeight="false" outlineLevel="0" collapsed="false">
      <c r="A4" s="4" t="s">
        <v>40</v>
      </c>
      <c r="B4" s="4" t="s">
        <v>41</v>
      </c>
      <c r="C4" s="6" t="n">
        <v>0</v>
      </c>
      <c r="D4" s="12" t="n">
        <f aca="false">C4*Supuestos!$B$5</f>
        <v>0</v>
      </c>
      <c r="E4" s="4" t="s">
        <v>42</v>
      </c>
      <c r="F4" s="4" t="s">
        <v>43</v>
      </c>
    </row>
    <row r="5" customFormat="false" ht="15" hidden="false" customHeight="false" outlineLevel="0" collapsed="false">
      <c r="A5" s="4" t="s">
        <v>44</v>
      </c>
      <c r="B5" s="4" t="s">
        <v>45</v>
      </c>
      <c r="C5" s="6" t="n">
        <v>0</v>
      </c>
      <c r="D5" s="12" t="n">
        <f aca="false">C5*Supuestos!$B$5</f>
        <v>0</v>
      </c>
      <c r="E5" s="4" t="s">
        <v>42</v>
      </c>
      <c r="F5" s="4" t="s">
        <v>46</v>
      </c>
    </row>
    <row r="6" customFormat="false" ht="15" hidden="false" customHeight="false" outlineLevel="0" collapsed="false">
      <c r="A6" s="4" t="s">
        <v>47</v>
      </c>
      <c r="B6" s="4" t="s">
        <v>48</v>
      </c>
      <c r="C6" s="6" t="n">
        <v>0</v>
      </c>
      <c r="D6" s="12" t="n">
        <f aca="false">C6*Supuestos!$B$5</f>
        <v>0</v>
      </c>
      <c r="E6" s="4" t="s">
        <v>42</v>
      </c>
      <c r="F6" s="4" t="s">
        <v>49</v>
      </c>
    </row>
    <row r="7" customFormat="false" ht="15" hidden="false" customHeight="false" outlineLevel="0" collapsed="false">
      <c r="A7" s="4" t="s">
        <v>50</v>
      </c>
      <c r="B7" s="4" t="s">
        <v>51</v>
      </c>
      <c r="C7" s="6" t="n">
        <v>0</v>
      </c>
      <c r="D7" s="12" t="n">
        <f aca="false">C7*Supuestos!$B$5</f>
        <v>0</v>
      </c>
      <c r="E7" s="4" t="s">
        <v>52</v>
      </c>
      <c r="F7" s="4" t="s">
        <v>53</v>
      </c>
    </row>
    <row r="8" customFormat="false" ht="15" hidden="false" customHeight="false" outlineLevel="0" collapsed="false">
      <c r="A8" s="4" t="s">
        <v>54</v>
      </c>
      <c r="B8" s="4" t="s">
        <v>55</v>
      </c>
      <c r="C8" s="13" t="n">
        <f aca="false">Supuestos!B11*B23</f>
        <v>30</v>
      </c>
      <c r="D8" s="12" t="n">
        <f aca="false">C8*Supuestos!$B$5</f>
        <v>525</v>
      </c>
      <c r="E8" s="4" t="s">
        <v>52</v>
      </c>
      <c r="F8" s="4" t="s">
        <v>56</v>
      </c>
    </row>
    <row r="9" customFormat="false" ht="15" hidden="false" customHeight="false" outlineLevel="0" collapsed="false">
      <c r="A9" s="4" t="s">
        <v>57</v>
      </c>
      <c r="B9" s="4" t="s">
        <v>58</v>
      </c>
      <c r="C9" s="6" t="n">
        <v>0</v>
      </c>
      <c r="D9" s="12" t="n">
        <f aca="false">C9*Supuestos!$B$5</f>
        <v>0</v>
      </c>
      <c r="E9" s="4" t="s">
        <v>42</v>
      </c>
      <c r="F9" s="4" t="s">
        <v>59</v>
      </c>
    </row>
    <row r="10" customFormat="false" ht="15" hidden="false" customHeight="false" outlineLevel="0" collapsed="false">
      <c r="A10" s="4" t="s">
        <v>60</v>
      </c>
      <c r="B10" s="4" t="s">
        <v>61</v>
      </c>
      <c r="C10" s="6" t="n">
        <v>0</v>
      </c>
      <c r="D10" s="12" t="n">
        <f aca="false">C10*Supuestos!$B$5</f>
        <v>0</v>
      </c>
      <c r="E10" s="4" t="s">
        <v>52</v>
      </c>
      <c r="F10" s="4" t="s">
        <v>62</v>
      </c>
    </row>
    <row r="11" customFormat="false" ht="15" hidden="false" customHeight="false" outlineLevel="0" collapsed="false">
      <c r="A11" s="4" t="s">
        <v>63</v>
      </c>
      <c r="B11" s="4" t="s">
        <v>64</v>
      </c>
      <c r="C11" s="14" t="n">
        <v>15</v>
      </c>
      <c r="D11" s="12" t="n">
        <f aca="false">C11*Supuestos!$B$5</f>
        <v>262.5</v>
      </c>
      <c r="E11" s="4" t="s">
        <v>65</v>
      </c>
      <c r="F11" s="4" t="s">
        <v>66</v>
      </c>
    </row>
    <row r="12" customFormat="false" ht="15" hidden="false" customHeight="false" outlineLevel="0" collapsed="false">
      <c r="A12" s="4" t="s">
        <v>67</v>
      </c>
      <c r="B12" s="4" t="s">
        <v>68</v>
      </c>
      <c r="C12" s="6" t="n">
        <v>25</v>
      </c>
      <c r="D12" s="12" t="n">
        <f aca="false">C12*Supuestos!$B$5</f>
        <v>437.5</v>
      </c>
      <c r="E12" s="4" t="s">
        <v>69</v>
      </c>
      <c r="F12" s="4" t="s">
        <v>70</v>
      </c>
    </row>
    <row r="13" customFormat="false" ht="15" hidden="false" customHeight="false" outlineLevel="0" collapsed="false">
      <c r="A13" s="4" t="s">
        <v>71</v>
      </c>
      <c r="B13" s="4" t="s">
        <v>72</v>
      </c>
      <c r="C13" s="6" t="n">
        <v>100</v>
      </c>
      <c r="D13" s="12" t="n">
        <f aca="false">C13*Supuestos!$B$5</f>
        <v>1750</v>
      </c>
      <c r="E13" s="4" t="s">
        <v>65</v>
      </c>
      <c r="F13" s="4" t="s">
        <v>73</v>
      </c>
    </row>
    <row r="14" customFormat="false" ht="15" hidden="false" customHeight="false" outlineLevel="0" collapsed="false">
      <c r="A14" s="15" t="s">
        <v>74</v>
      </c>
      <c r="B14" s="16"/>
      <c r="C14" s="17" t="n">
        <f aca="false">SUMIFS(C4:C13,E4:E13,"Piloto")+SUMIFS(C4:C13,E4:E13,"—")</f>
        <v>30</v>
      </c>
      <c r="D14" s="18" t="n">
        <f aca="false">C14*Supuestos!$B$5</f>
        <v>525</v>
      </c>
      <c r="E14" s="16"/>
      <c r="F14" s="16"/>
    </row>
    <row r="15" customFormat="false" ht="15" hidden="false" customHeight="false" outlineLevel="0" collapsed="false">
      <c r="A15" s="15" t="s">
        <v>75</v>
      </c>
      <c r="B15" s="16"/>
      <c r="C15" s="17" t="n">
        <f aca="false">SUM(C4:C13)</f>
        <v>170</v>
      </c>
      <c r="D15" s="18" t="n">
        <f aca="false">C15*Supuestos!$B$5</f>
        <v>2975</v>
      </c>
      <c r="E15" s="16"/>
      <c r="F15" s="16"/>
    </row>
    <row r="18" customFormat="false" ht="15" hidden="false" customHeight="false" outlineLevel="0" collapsed="false">
      <c r="A18" s="19" t="s">
        <v>76</v>
      </c>
    </row>
    <row r="20" customFormat="false" ht="15" hidden="false" customHeight="false" outlineLevel="0" collapsed="false">
      <c r="A20" s="4" t="s">
        <v>77</v>
      </c>
      <c r="B20" s="20" t="n">
        <f aca="false">(Supuestos!B8*Supuestos!B6+Supuestos!B9*Supuestos!B7)/1000000</f>
        <v>0.005</v>
      </c>
    </row>
    <row r="21" customFormat="false" ht="15" hidden="false" customHeight="false" outlineLevel="0" collapsed="false">
      <c r="A21" s="4" t="s">
        <v>78</v>
      </c>
      <c r="B21" s="21" t="n">
        <f aca="false">B20*Supuestos!B5</f>
        <v>0.0875</v>
      </c>
    </row>
    <row r="22" customFormat="false" ht="15" hidden="false" customHeight="false" outlineLevel="0" collapsed="false">
      <c r="A22" s="22"/>
    </row>
    <row r="23" customFormat="false" ht="15" hidden="false" customHeight="false" outlineLevel="0" collapsed="false">
      <c r="A23" s="4" t="s">
        <v>79</v>
      </c>
      <c r="B23" s="13" t="n">
        <f aca="false">B20*Supuestos!B10</f>
        <v>1.5</v>
      </c>
    </row>
    <row r="24" customFormat="false" ht="15" hidden="false" customHeight="false" outlineLevel="0" collapsed="false">
      <c r="A24" s="4" t="s">
        <v>80</v>
      </c>
      <c r="B24" s="12" t="n">
        <f aca="false">B23*Supuestos!B5</f>
        <v>26.25</v>
      </c>
    </row>
    <row r="25" customFormat="false" ht="15" hidden="false" customHeight="false" outlineLevel="0" collapsed="false">
      <c r="A25" s="4" t="s">
        <v>81</v>
      </c>
      <c r="B25" s="12" t="n">
        <f aca="false">Supuestos!B12*(1-Supuestos!B13)</f>
        <v>174.3</v>
      </c>
    </row>
    <row r="26" customFormat="false" ht="15" hidden="false" customHeight="false" outlineLevel="0" collapsed="false">
      <c r="A26" s="4" t="s">
        <v>82</v>
      </c>
      <c r="B26" s="23" t="n">
        <f aca="false">IF(B25=0,0,B24/B25)</f>
        <v>0.150602409638554</v>
      </c>
    </row>
    <row r="27" customFormat="false" ht="15" hidden="false" customHeight="false" outlineLevel="0" collapsed="false">
      <c r="A27" s="4" t="s">
        <v>83</v>
      </c>
      <c r="B27" s="23" t="n">
        <f aca="false">B26*10</f>
        <v>1.50602409638554</v>
      </c>
    </row>
    <row r="28" customFormat="false" ht="15" hidden="false" customHeight="false" outlineLevel="0" collapsed="false">
      <c r="A28" s="4" t="s">
        <v>84</v>
      </c>
      <c r="B28" s="24" t="n">
        <f aca="false">IF(B20=0,0,0.1*B25/Supuestos!B5/B20)</f>
        <v>199.2</v>
      </c>
    </row>
    <row r="30" customFormat="false" ht="15" hidden="false" customHeight="false" outlineLevel="0" collapsed="false">
      <c r="A30" s="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34"/>
    <col collapsed="false" customWidth="true" hidden="false" outlineLevel="0" max="10" min="10" style="0" width="12"/>
    <col collapsed="false" customWidth="true" hidden="false" outlineLevel="0" max="11" min="11" style="0" width="48"/>
  </cols>
  <sheetData>
    <row r="1" customFormat="false" ht="16.15" hidden="false" customHeight="false" outlineLevel="0" collapsed="false">
      <c r="A1" s="11" t="s">
        <v>86</v>
      </c>
    </row>
    <row r="3" customFormat="false" ht="39.55" hidden="false" customHeight="false" outlineLevel="0" collapsed="false">
      <c r="A3" s="25" t="s">
        <v>87</v>
      </c>
      <c r="B3" s="25" t="s">
        <v>88</v>
      </c>
      <c r="C3" s="25" t="s">
        <v>89</v>
      </c>
      <c r="D3" s="25" t="s">
        <v>90</v>
      </c>
      <c r="E3" s="25" t="s">
        <v>91</v>
      </c>
      <c r="F3" s="25" t="s">
        <v>92</v>
      </c>
      <c r="G3" s="25" t="s">
        <v>93</v>
      </c>
      <c r="H3" s="25" t="s">
        <v>94</v>
      </c>
      <c r="I3" s="25" t="s">
        <v>95</v>
      </c>
      <c r="J3" s="25" t="s">
        <v>96</v>
      </c>
      <c r="K3" s="25" t="s">
        <v>97</v>
      </c>
    </row>
    <row r="4" customFormat="false" ht="39.55" hidden="false" customHeight="false" outlineLevel="0" collapsed="false">
      <c r="A4" s="26" t="s">
        <v>98</v>
      </c>
      <c r="B4" s="26" t="s">
        <v>99</v>
      </c>
      <c r="C4" s="26" t="s">
        <v>100</v>
      </c>
      <c r="D4" s="26" t="s">
        <v>101</v>
      </c>
      <c r="E4" s="27" t="n">
        <v>188</v>
      </c>
      <c r="F4" s="27" t="n">
        <v>188</v>
      </c>
      <c r="G4" s="28" t="n">
        <v>1</v>
      </c>
      <c r="H4" s="29" t="n">
        <f aca="false">F4*G4</f>
        <v>188</v>
      </c>
      <c r="I4" s="26" t="s">
        <v>102</v>
      </c>
      <c r="J4" s="26" t="s">
        <v>103</v>
      </c>
      <c r="K4" s="26" t="s">
        <v>104</v>
      </c>
    </row>
    <row r="5" customFormat="false" ht="26.85" hidden="false" customHeight="false" outlineLevel="0" collapsed="false">
      <c r="A5" s="26" t="s">
        <v>105</v>
      </c>
      <c r="B5" s="26" t="s">
        <v>106</v>
      </c>
      <c r="C5" s="26" t="s">
        <v>107</v>
      </c>
      <c r="D5" s="26" t="s">
        <v>108</v>
      </c>
      <c r="E5" s="27" t="n">
        <v>70</v>
      </c>
      <c r="F5" s="27" t="n">
        <v>68</v>
      </c>
      <c r="G5" s="28" t="n">
        <v>1</v>
      </c>
      <c r="H5" s="29" t="n">
        <f aca="false">F5*G5</f>
        <v>68</v>
      </c>
      <c r="I5" s="26" t="s">
        <v>109</v>
      </c>
      <c r="J5" s="26" t="s">
        <v>103</v>
      </c>
      <c r="K5" s="26" t="s">
        <v>110</v>
      </c>
    </row>
    <row r="6" customFormat="false" ht="39.55" hidden="false" customHeight="false" outlineLevel="0" collapsed="false">
      <c r="A6" s="26" t="s">
        <v>111</v>
      </c>
      <c r="B6" s="26" t="s">
        <v>112</v>
      </c>
      <c r="C6" s="26" t="s">
        <v>107</v>
      </c>
      <c r="D6" s="26" t="s">
        <v>113</v>
      </c>
      <c r="E6" s="27" t="n">
        <v>195</v>
      </c>
      <c r="F6" s="27" t="n">
        <v>195</v>
      </c>
      <c r="G6" s="28" t="n">
        <v>1</v>
      </c>
      <c r="H6" s="29" t="n">
        <f aca="false">F6*G6</f>
        <v>195</v>
      </c>
      <c r="I6" s="26" t="s">
        <v>114</v>
      </c>
      <c r="J6" s="26" t="s">
        <v>103</v>
      </c>
      <c r="K6" s="26" t="s">
        <v>115</v>
      </c>
    </row>
    <row r="7" customFormat="false" ht="39.55" hidden="false" customHeight="false" outlineLevel="0" collapsed="false">
      <c r="A7" s="26" t="s">
        <v>116</v>
      </c>
      <c r="B7" s="26" t="s">
        <v>117</v>
      </c>
      <c r="C7" s="26" t="s">
        <v>107</v>
      </c>
      <c r="D7" s="26" t="s">
        <v>118</v>
      </c>
      <c r="E7" s="27" t="n">
        <v>63</v>
      </c>
      <c r="F7" s="27" t="n">
        <v>55</v>
      </c>
      <c r="G7" s="28" t="n">
        <v>1</v>
      </c>
      <c r="H7" s="29" t="n">
        <f aca="false">F7*G7</f>
        <v>55</v>
      </c>
      <c r="I7" s="26" t="s">
        <v>119</v>
      </c>
      <c r="J7" s="26" t="s">
        <v>103</v>
      </c>
      <c r="K7" s="26" t="s">
        <v>120</v>
      </c>
    </row>
    <row r="8" customFormat="false" ht="26.85" hidden="false" customHeight="false" outlineLevel="0" collapsed="false">
      <c r="A8" s="26" t="s">
        <v>121</v>
      </c>
      <c r="B8" s="26" t="s">
        <v>122</v>
      </c>
      <c r="C8" s="26" t="s">
        <v>123</v>
      </c>
      <c r="D8" s="26" t="s">
        <v>124</v>
      </c>
      <c r="E8" s="27" t="n">
        <v>70</v>
      </c>
      <c r="F8" s="27" t="n">
        <v>63</v>
      </c>
      <c r="G8" s="28" t="n">
        <v>1</v>
      </c>
      <c r="H8" s="29" t="n">
        <f aca="false">F8*G8</f>
        <v>63</v>
      </c>
      <c r="I8" s="26" t="s">
        <v>125</v>
      </c>
      <c r="J8" s="26" t="s">
        <v>103</v>
      </c>
      <c r="K8" s="26" t="s">
        <v>126</v>
      </c>
    </row>
    <row r="9" customFormat="false" ht="26.85" hidden="false" customHeight="false" outlineLevel="0" collapsed="false">
      <c r="A9" s="26" t="s">
        <v>127</v>
      </c>
      <c r="B9" s="26" t="s">
        <v>128</v>
      </c>
      <c r="C9" s="26" t="s">
        <v>100</v>
      </c>
      <c r="D9" s="26" t="s">
        <v>129</v>
      </c>
      <c r="E9" s="27" t="n">
        <v>34</v>
      </c>
      <c r="F9" s="27" t="n">
        <v>34</v>
      </c>
      <c r="G9" s="28" t="n">
        <v>1</v>
      </c>
      <c r="H9" s="29" t="n">
        <f aca="false">F9*G9</f>
        <v>34</v>
      </c>
      <c r="I9" s="26" t="s">
        <v>130</v>
      </c>
      <c r="J9" s="26" t="s">
        <v>103</v>
      </c>
      <c r="K9" s="26" t="s">
        <v>131</v>
      </c>
    </row>
    <row r="10" customFormat="false" ht="26.85" hidden="false" customHeight="false" outlineLevel="0" collapsed="false">
      <c r="A10" s="26" t="s">
        <v>132</v>
      </c>
      <c r="B10" s="26" t="s">
        <v>133</v>
      </c>
      <c r="C10" s="26" t="s">
        <v>100</v>
      </c>
      <c r="D10" s="26" t="s">
        <v>134</v>
      </c>
      <c r="E10" s="27" t="n">
        <v>42</v>
      </c>
      <c r="F10" s="27" t="n">
        <v>35.96</v>
      </c>
      <c r="G10" s="28" t="n">
        <v>1</v>
      </c>
      <c r="H10" s="29" t="n">
        <f aca="false">F10*G10</f>
        <v>35.96</v>
      </c>
      <c r="I10" s="26" t="s">
        <v>135</v>
      </c>
      <c r="J10" s="26" t="s">
        <v>103</v>
      </c>
      <c r="K10" s="26" t="s">
        <v>136</v>
      </c>
    </row>
    <row r="11" customFormat="false" ht="26.85" hidden="false" customHeight="false" outlineLevel="0" collapsed="false">
      <c r="A11" s="26" t="s">
        <v>137</v>
      </c>
      <c r="B11" s="26" t="s">
        <v>138</v>
      </c>
      <c r="C11" s="26" t="s">
        <v>100</v>
      </c>
      <c r="D11" s="26" t="s">
        <v>139</v>
      </c>
      <c r="E11" s="27" t="n">
        <v>76</v>
      </c>
      <c r="F11" s="27" t="n">
        <v>76</v>
      </c>
      <c r="G11" s="28" t="n">
        <v>1</v>
      </c>
      <c r="H11" s="29" t="n">
        <f aca="false">F11*G11</f>
        <v>76</v>
      </c>
      <c r="I11" s="26" t="s">
        <v>140</v>
      </c>
      <c r="J11" s="26" t="s">
        <v>103</v>
      </c>
      <c r="K11" s="26" t="s">
        <v>141</v>
      </c>
    </row>
    <row r="12" customFormat="false" ht="26.85" hidden="false" customHeight="false" outlineLevel="0" collapsed="false">
      <c r="A12" s="26" t="s">
        <v>142</v>
      </c>
      <c r="B12" s="26" t="s">
        <v>143</v>
      </c>
      <c r="C12" s="26" t="s">
        <v>144</v>
      </c>
      <c r="D12" s="26" t="s">
        <v>145</v>
      </c>
      <c r="E12" s="30" t="n">
        <v>50</v>
      </c>
      <c r="F12" s="30" t="n">
        <v>50</v>
      </c>
      <c r="G12" s="28" t="n">
        <v>1</v>
      </c>
      <c r="H12" s="29" t="n">
        <f aca="false">F12*G12</f>
        <v>50</v>
      </c>
      <c r="I12" s="26" t="s">
        <v>146</v>
      </c>
      <c r="J12" s="26" t="s">
        <v>147</v>
      </c>
      <c r="K12" s="26" t="s">
        <v>148</v>
      </c>
    </row>
    <row r="13" customFormat="false" ht="15" hidden="false" customHeight="false" outlineLevel="0" collapsed="false">
      <c r="A13" s="26" t="s">
        <v>149</v>
      </c>
      <c r="B13" s="26" t="s">
        <v>150</v>
      </c>
      <c r="C13" s="26" t="s">
        <v>151</v>
      </c>
      <c r="D13" s="26"/>
      <c r="E13" s="30" t="n">
        <v>60</v>
      </c>
      <c r="F13" s="30" t="n">
        <v>60</v>
      </c>
      <c r="G13" s="28" t="n">
        <v>1</v>
      </c>
      <c r="H13" s="29" t="n">
        <f aca="false">F13*G13</f>
        <v>60</v>
      </c>
      <c r="I13" s="26" t="s">
        <v>152</v>
      </c>
      <c r="J13" s="26" t="s">
        <v>147</v>
      </c>
      <c r="K13" s="26" t="s">
        <v>153</v>
      </c>
    </row>
    <row r="14" customFormat="false" ht="26.85" hidden="false" customHeight="false" outlineLevel="0" collapsed="false">
      <c r="A14" s="26" t="s">
        <v>154</v>
      </c>
      <c r="B14" s="26" t="s">
        <v>155</v>
      </c>
      <c r="C14" s="26" t="s">
        <v>156</v>
      </c>
      <c r="D14" s="26"/>
      <c r="E14" s="30" t="n">
        <v>80</v>
      </c>
      <c r="F14" s="30" t="n">
        <v>80</v>
      </c>
      <c r="G14" s="28" t="n">
        <v>1</v>
      </c>
      <c r="H14" s="29" t="n">
        <f aca="false">F14*G14</f>
        <v>80</v>
      </c>
      <c r="I14" s="26" t="s">
        <v>152</v>
      </c>
      <c r="J14" s="26" t="s">
        <v>147</v>
      </c>
      <c r="K14" s="26" t="s">
        <v>42</v>
      </c>
    </row>
    <row r="15" customFormat="false" ht="26.85" hidden="false" customHeight="false" outlineLevel="0" collapsed="false">
      <c r="A15" s="26" t="s">
        <v>157</v>
      </c>
      <c r="B15" s="26" t="s">
        <v>158</v>
      </c>
      <c r="C15" s="26" t="s">
        <v>156</v>
      </c>
      <c r="D15" s="26"/>
      <c r="E15" s="30" t="n">
        <v>60</v>
      </c>
      <c r="F15" s="30" t="n">
        <v>60</v>
      </c>
      <c r="G15" s="28" t="n">
        <v>1</v>
      </c>
      <c r="H15" s="29" t="n">
        <f aca="false">F15*G15</f>
        <v>60</v>
      </c>
      <c r="I15" s="26" t="s">
        <v>152</v>
      </c>
      <c r="J15" s="26" t="s">
        <v>147</v>
      </c>
      <c r="K15" s="26" t="s">
        <v>159</v>
      </c>
    </row>
    <row r="17" customFormat="false" ht="15" hidden="false" customHeight="false" outlineLevel="0" collapsed="false">
      <c r="A17" s="15" t="s">
        <v>160</v>
      </c>
      <c r="B17" s="15"/>
      <c r="C17" s="15"/>
      <c r="D17" s="15"/>
      <c r="E17" s="15"/>
      <c r="F17" s="15"/>
      <c r="G17" s="15"/>
      <c r="H17" s="31" t="n">
        <v>10</v>
      </c>
    </row>
    <row r="18" customFormat="false" ht="15" hidden="false" customHeight="false" outlineLevel="0" collapsed="false">
      <c r="A18" s="15" t="s">
        <v>161</v>
      </c>
      <c r="B18" s="15"/>
      <c r="C18" s="15"/>
      <c r="D18" s="15"/>
      <c r="E18" s="15"/>
      <c r="F18" s="15"/>
      <c r="G18" s="15"/>
      <c r="H18" s="18" t="n">
        <f aca="false">SUM(H4:H15)</f>
        <v>964.96</v>
      </c>
    </row>
    <row r="19" customFormat="false" ht="15" hidden="false" customHeight="false" outlineLevel="0" collapsed="false">
      <c r="A19" s="15" t="s">
        <v>162</v>
      </c>
      <c r="B19" s="15"/>
      <c r="C19" s="15"/>
      <c r="D19" s="15"/>
      <c r="E19" s="15"/>
      <c r="F19" s="15"/>
      <c r="G19" s="15"/>
      <c r="H19" s="18" t="n">
        <f aca="false">H18*H17</f>
        <v>9649.6</v>
      </c>
    </row>
    <row r="20" customFormat="false" ht="15" hidden="false" customHeight="false" outlineLevel="0" collapsed="false">
      <c r="A20" s="15" t="s">
        <v>163</v>
      </c>
      <c r="B20" s="15"/>
      <c r="C20" s="15"/>
      <c r="D20" s="15"/>
      <c r="E20" s="15"/>
      <c r="F20" s="15"/>
      <c r="G20" s="15"/>
      <c r="H20" s="18" t="n">
        <f aca="false">H18/Supuestos!B14</f>
        <v>3216.53333333333</v>
      </c>
    </row>
    <row r="21" customFormat="false" ht="15" hidden="false" customHeight="false" outlineLevel="0" collapsed="false">
      <c r="A21" s="15" t="s">
        <v>164</v>
      </c>
      <c r="B21" s="15"/>
      <c r="C21" s="15"/>
      <c r="D21" s="15"/>
      <c r="E21" s="15"/>
      <c r="F21" s="15"/>
      <c r="G21" s="15"/>
      <c r="H21" s="32" t="n">
        <f aca="false">SUMIFS(H4:H15,J4:J15,"Verificado")/H18</f>
        <v>0.740921903498591</v>
      </c>
    </row>
    <row r="22" customFormat="false" ht="15" hidden="false" customHeight="false" outlineLevel="0" collapsed="false">
      <c r="A22" s="15" t="s">
        <v>165</v>
      </c>
      <c r="B22" s="15"/>
      <c r="C22" s="15"/>
      <c r="D22" s="15"/>
      <c r="E22" s="15"/>
      <c r="F22" s="15"/>
      <c r="G22" s="15"/>
      <c r="H22" s="15" t="str">
        <f aca="false">IF(H18&lt;=3000,"Sí","No")</f>
        <v>Sí</v>
      </c>
    </row>
    <row r="24" customFormat="false" ht="15" hidden="false" customHeight="false" outlineLevel="0" collapsed="false">
      <c r="A24" s="2" t="s">
        <v>166</v>
      </c>
    </row>
    <row r="25" customFormat="false" ht="15" hidden="false" customHeight="false" outlineLevel="0" collapsed="false">
      <c r="A25" s="2" t="s">
        <v>167</v>
      </c>
    </row>
  </sheetData>
  <mergeCells count="6">
    <mergeCell ref="A17:G17"/>
    <mergeCell ref="A18:G18"/>
    <mergeCell ref="A19:G19"/>
    <mergeCell ref="A20:G20"/>
    <mergeCell ref="A21:G21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2026-09-25T03:34:31Z</dcterms:created>
  <dc:creator>openpyxl</dc:creator>
  <dc:description/>
  <dc:language>en-US</dc:language>
  <cp:lastModifiedBy/>
  <dcterms:modified xsi:type="dcterms:W3CDTF">2026-09-25T03:34:32Z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