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Pugh" sheetId="1" state="visible" r:id="rId3"/>
    <sheet name="Evaluación renders" sheetId="2" state="visible" r:id="rId4"/>
    <sheet name="Ronda 2 (híbrido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<sst xmlns="http://schemas.openxmlformats.org/spreadsheetml/2006/main" count="174" uniqueCount="128">
  <si>
    <t xml:space="preserve">GPIO Génesis — Matriz de Pugh (semana 6)</t>
  </si>
  <si>
    <t xml:space="preserve">Datum: C1 — Planta en corte. Celdas en azul con fondo amarillo = evaluación (+ / - / S); todo lo demás se calcula. Pesos definidos antes de evaluar.</t>
  </si>
  <si>
    <t xml:space="preserve">ID</t>
  </si>
  <si>
    <t xml:space="preserve">Criterio</t>
  </si>
  <si>
    <t xml:space="preserve">Tipo</t>
  </si>
  <si>
    <t xml:space="preserve">Peso</t>
  </si>
  <si>
    <t xml:space="preserve">Descripción</t>
  </si>
  <si>
    <t xml:space="preserve">C1 — Planta en corte (datum)</t>
  </si>
  <si>
    <t xml:space="preserve">C2 — Sala de control</t>
  </si>
  <si>
    <t xml:space="preserve">C3 — Primer turno</t>
  </si>
  <si>
    <t xml:space="preserve">Puntos C2</t>
  </si>
  <si>
    <t xml:space="preserve">Puntos C3</t>
  </si>
  <si>
    <t xml:space="preserve">Justificación C2</t>
  </si>
  <si>
    <t xml:space="preserve">Justificación C3</t>
  </si>
  <si>
    <t xml:space="preserve">D1</t>
  </si>
  <si>
    <t xml:space="preserve">Pin ↔ máquina legible</t>
  </si>
  <si>
    <t xml:space="preserve">Deseabilidad</t>
  </si>
  <si>
    <t xml:space="preserve">Sin leer el tutorial, se entiende qué pin mueve qué máquina.</t>
  </si>
  <si>
    <t xml:space="preserve">datum</t>
  </si>
  <si>
    <t xml:space="preserve">-</t>
  </si>
  <si>
    <t xml:space="preserve">Las etiquetas D5/D2/D4 flotan lejos de las máquinas; en la evaluación del equipo C1 fue el más claro.</t>
  </si>
  <si>
    <t xml:space="preserve">El render no muestra el pin junto al motor; el nombre MOTOR_BANDA solo está en el código.</t>
  </si>
  <si>
    <t xml:space="preserve">D2</t>
  </si>
  <si>
    <t xml:space="preserve">Estado visible de un vistazo</t>
  </si>
  <si>
    <t xml:space="preserve">Se distingue si la planta funciona y qué máquina falla, sin abrir la consola.</t>
  </si>
  <si>
    <t xml:space="preserve">'Todo gris = todo bien' no se lee así; la mini-traza de D5 salió como pulso aunque el pin está en HIGH.</t>
  </si>
  <si>
    <t xml:space="preserve">El estado depende de mantener Alt; el tablero '3 de 3' ayuda. El equipo lo puso 2.º después de C1.</t>
  </si>
  <si>
    <t xml:space="preserve">D3</t>
  </si>
  <si>
    <t xml:space="preserve">Se siente juego, no clase</t>
  </si>
  <si>
    <t xml:space="preserve">Atractivo para un jugador de Minecraft/simuladores; ganas de volver.</t>
  </si>
  <si>
    <t xml:space="preserve">+</t>
  </si>
  <si>
    <t xml:space="preserve">Fue el que menos gustó: frío, parece diagrama técnico; no hay drones en pantalla.</t>
  </si>
  <si>
    <t xml:space="preserve">Fue el que más gustó: pixel art cálido, luces, personaje amable que no se ve infantil.</t>
  </si>
  <si>
    <t xml:space="preserve">D4</t>
  </si>
  <si>
    <t xml:space="preserve">Primeros 30 s sin instrucciones</t>
  </si>
  <si>
    <t xml:space="preserve">Llegar a la primera compilación que mueve algo sin ayuda (RI-01).</t>
  </si>
  <si>
    <t xml:space="preserve">Pantalla de arranque + interruptor Taller/Planta = un paso y un concepto extra antes de compilar.</t>
  </si>
  <si>
    <t xml:space="preserve">Arranque al 90%: una sola línea y una sola acción resaltada.</t>
  </si>
  <si>
    <t xml:space="preserve">F1</t>
  </si>
  <si>
    <t xml:space="preserve">Horas de producción</t>
  </si>
  <si>
    <t xml:space="preserve">Factibilidad</t>
  </si>
  <si>
    <t xml:space="preserve">Horas-persona para nivel 1 + menú (estimación de la tabla morfológica).</t>
  </si>
  <si>
    <t xml:space="preserve">~104 h vs. ~67 h del datum.</t>
  </si>
  <si>
    <t xml:space="preserve">~88 h vs. ~67 h del datum.</t>
  </si>
  <si>
    <t xml:space="preserve">F2</t>
  </si>
  <si>
    <t xml:space="preserve">Riesgo técnico en Godot 4</t>
  </si>
  <si>
    <t xml:space="preserve">Dependencia de sistemas difíciles (validador de estado esperado, análisis de llamadas al HAL).</t>
  </si>
  <si>
    <t xml:space="preserve">S</t>
  </si>
  <si>
    <t xml:space="preserve">4E y 5C dependen de comparar estado esperado vs. real y de parsear el código.</t>
  </si>
  <si>
    <t xml:space="preserve">Plantilla con constantes y globos de diálogo son sencillos; mismo riesgo que el datum.</t>
  </si>
  <si>
    <t xml:space="preserve">F3</t>
  </si>
  <si>
    <t xml:space="preserve">Assets con licencia compatible</t>
  </si>
  <si>
    <t xml:space="preserve">Conseguir o hacer arte CC0/MIT/OFL coherente.</t>
  </si>
  <si>
    <t xml:space="preserve">El plano técnico se dibuja con líneas; casi no necesita assets.</t>
  </si>
  <si>
    <t xml:space="preserve">Un set de pixel art coherente con drones y retrato es difícil de juntar de paquetes CC0; más arte a mano.</t>
  </si>
  <si>
    <t xml:space="preserve">F4</t>
  </si>
  <si>
    <t xml:space="preserve">Escalabilidad a 5 niveles</t>
  </si>
  <si>
    <t xml:space="preserve">Costo de agregar una máquina o nivel nuevo.</t>
  </si>
  <si>
    <t xml:space="preserve">Una máquina nueva es un dibujo de líneas.</t>
  </si>
  <si>
    <t xml:space="preserve">Cada máquina nueva en pixel art necesita sprites y animación propios.</t>
  </si>
  <si>
    <t xml:space="preserve">Suma de pesos (debe ser 100%)</t>
  </si>
  <si>
    <t xml:space="preserve">Peso de deseabilidad (regla: ≥ 40%)</t>
  </si>
  <si>
    <t xml:space="preserve">¿Cumple la regla de deseabilidad?</t>
  </si>
  <si>
    <t xml:space="preserve">Puntuación ponderada C1 (datum)</t>
  </si>
  <si>
    <t xml:space="preserve">Puntuación ponderada C2</t>
  </si>
  <si>
    <t xml:space="preserve">Puntuación ponderada C3</t>
  </si>
  <si>
    <t xml:space="preserve">Ganador</t>
  </si>
  <si>
    <t xml:space="preserve">Sensibilidad</t>
  </si>
  <si>
    <t xml:space="preserve">¿Y si en el render de C3 se agregan las etiquetas de pin (D1 y D2 de C3 pasan a S)?</t>
  </si>
  <si>
    <t xml:space="preserve">Puntuación C3 en ese escenario</t>
  </si>
  <si>
    <t xml:space="preserve">¿Sigue ganando el datum?</t>
  </si>
  <si>
    <t xml:space="preserve">Notas</t>
  </si>
  <si>
    <t xml:space="preserve">· Evidencia: evaluación de los 6 renders hecha por José Carlos el 1-oct-2026 (C3 el que más gustó; C1 el más claro en pin↔máquina y en estado; C2 el que menos). Falta la opinión de Yael y la prueba con 3–4 personas del segmento.</t>
  </si>
  <si>
    <t xml:space="preserve">· Horas: suma de las estimaciones gruesas de la tabla morfológica (Prompt 1); no están medidas.</t>
  </si>
  <si>
    <t xml:space="preserve">· Rendimiento en la PC mínima no se incluyó como criterio: los tres conceptos son 2D y empatarían (S).</t>
  </si>
  <si>
    <t xml:space="preserve">Imagen</t>
  </si>
  <si>
    <t xml:space="preserve">Concepto</t>
  </si>
  <si>
    <t xml:space="preserve">¿Se entiende qué pin mueve qué?</t>
  </si>
  <si>
    <t xml:space="preserve">¿Se ve el estado de un vistazo?</t>
  </si>
  <si>
    <t xml:space="preserve">¿Se siente juego o clase?</t>
  </si>
  <si>
    <t xml:space="preserve">Problemas detectados en el render (Claude)</t>
  </si>
  <si>
    <t xml:space="preserve">c1-menu.jpg</t>
  </si>
  <si>
    <t xml:space="preserve">C1</t>
  </si>
  <si>
    <t xml:space="preserve">—</t>
  </si>
  <si>
    <t xml:space="preserve">Claro; 'Continuar' es la acción dominante</t>
  </si>
  <si>
    <t xml:space="preserve">Fondo con brazo robótico y CNC que no están en el nivel 1 (no es grave).</t>
  </si>
  <si>
    <t xml:space="preserve">c1-nivel1.jpg</t>
  </si>
  <si>
    <t xml:space="preserve">Sí — el más claro (etiquetas D5/D2/D4 junto a cada máquina)</t>
  </si>
  <si>
    <t xml:space="preserve">Sí — el más claro (LEDs verdes + contador)</t>
  </si>
  <si>
    <t xml:space="preserve">Entre juego y herramienta</t>
  </si>
  <si>
    <t xml:space="preserve">La lámpara D2 está encendida aunque el código solo escribe el pin 5: el render contradice al código. El ícono del copiloto se parece al logo de Microsoft Copilot: no usar algo parecido.</t>
  </si>
  <si>
    <t xml:space="preserve">c2-menu.jpg</t>
  </si>
  <si>
    <t xml:space="preserve">C2</t>
  </si>
  <si>
    <t xml:space="preserve">Se siente frío / técnico</t>
  </si>
  <si>
    <t xml:space="preserve">Bien legible; acentos correctos.</t>
  </si>
  <si>
    <t xml:space="preserve">c2-nivel1.jpg</t>
  </si>
  <si>
    <t xml:space="preserve">Más o menos — etiquetas lejos de las máquinas</t>
  </si>
  <si>
    <t xml:space="preserve">Más o menos — 'todo gris' no se lee como 'todo bien'</t>
  </si>
  <si>
    <t xml:space="preserve">Clase / diagrama — el que menos gustó</t>
  </si>
  <si>
    <t xml:space="preserve">La traza de D5 sale como pulso aunque el pin está en HIGH; D4 tiene traza aunque no se usa; 'deberia' sin acento; no hay drones en pantalla.</t>
  </si>
  <si>
    <t xml:space="preserve">c3-menu.jpg</t>
  </si>
  <si>
    <t xml:space="preserve">C3</t>
  </si>
  <si>
    <t xml:space="preserve">Juego — el que más gustó</t>
  </si>
  <si>
    <t xml:space="preserve">Los chasis de la banda parecen camionetas, no drones: corregir con instrucción de seguimiento.</t>
  </si>
  <si>
    <t xml:space="preserve">c3-nivel1.jpg</t>
  </si>
  <si>
    <t xml:space="preserve">Más o menos — el nombre MOTOR_BANDA está en el código pero el motor no tiene etiqueta</t>
  </si>
  <si>
    <t xml:space="preserve">Sí, después de C1 (tablero '3 de 3', motor iluminado)</t>
  </si>
  <si>
    <t xml:space="preserve">Falta la etiqueta D5 / MOTOR_BANDA junto al motor. El personaje se ve profesional, no infantil.</t>
  </si>
  <si>
    <t xml:space="preserve">Fuente: evaluación de José Carlos (1-oct-2026) sobre las imágenes generadas con Google AI Studio; columna F = observaciones de Claude.</t>
  </si>
  <si>
    <t xml:space="preserve">Ronda 2 — Concepto final (arte de C3 + funciones de C1) contra el datum C1</t>
  </si>
  <si>
    <t xml:space="preserve">Decisión del equipo (José Carlos y Yael, 1-oct-2026). Pesos tomados de la pestaña 'Matriz de Pugh' (no se cambiaron).</t>
  </si>
  <si>
    <t xml:space="preserve">Concepto final vs. C1</t>
  </si>
  <si>
    <t xml:space="preserve">Puntos</t>
  </si>
  <si>
    <t xml:space="preserve">Justificación</t>
  </si>
  <si>
    <t xml:space="preserve">Mismas etiquetas de pin que C1, ahora con el nombre de la constante (D5 · MOTOR_BANDA).</t>
  </si>
  <si>
    <t xml:space="preserve">LEDs de C1 + mini-trazas y marcador de desviación de C2 + objetivos con palomita.</t>
  </si>
  <si>
    <t xml:space="preserve">Estilo de C3, el que prefirieron ambos integrantes.</t>
  </si>
  <si>
    <t xml:space="preserve">Arranque al 90% de C3: una línea y una sola acción resaltada.</t>
  </si>
  <si>
    <t xml:space="preserve">~95 h vs. ~67 h del datum (pixel art + retrato + extras).</t>
  </si>
  <si>
    <t xml:space="preserve">Mismos sistemas que C1; el marcador de desviación reutiliza el validador del nivel (RF-03).</t>
  </si>
  <si>
    <t xml:space="preserve">Pixel art coherente requiere más arte a mano que el vectorial.</t>
  </si>
  <si>
    <t xml:space="preserve">Cada máquina nueva necesita sprite propio de 32×32.</t>
  </si>
  <si>
    <t xml:space="preserve">Puntuación del concepto final</t>
  </si>
  <si>
    <t xml:space="preserve">Resultado</t>
  </si>
  <si>
    <t xml:space="preserve">Costo-beneficio (decisión consciente)</t>
  </si>
  <si>
    <t xml:space="preserve">· Sabemos que el pixel art cuesta ~28 h más que el vectorial y que escala peor (F1, F3, F4 en contra). Lo elegimos porque 'se siente juego, no clase' pesa 15% y es lo que el segmento pidió en las entrevistas.</t>
  </si>
  <si>
    <t xml:space="preserve">· Mitigación: paleta limitada de 16 colores, una sola hoja de sprites de máquinas de 32×32, base de assets CC0 retocada, y tope: si el arte del nivel 1 pasa de 30 h, las máquinas de los niveles 4–5 se reutilizan recoloreadas.</t>
  </si>
  <si>
    <t xml:space="preserve">· El margen es pequeño (+5): depende de controlar las horas de arte. Revisar en la semana 8.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</si>
</sst>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+0%;\-0%;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8" min="6" style="0" width="14"/>
    <col collapsed="false" customWidth="true" hidden="false" outlineLevel="0" max="10" min="9" style="0" width="10"/>
    <col collapsed="false" customWidth="true" hidden="false" outlineLevel="0" max="12" min="11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57.75" hidden="false" customHeight="true" outlineLevel="0" collapsed="false">
      <c r="A5" s="4" t="s">
        <v>14</v>
      </c>
      <c r="B5" s="4" t="s">
        <v>15</v>
      </c>
      <c r="C5" s="4" t="s">
        <v>16</v>
      </c>
      <c r="D5" s="5" t="n">
        <v>0.15</v>
      </c>
      <c r="E5" s="4" t="s">
        <v>17</v>
      </c>
      <c r="F5" s="6" t="s">
        <v>18</v>
      </c>
      <c r="G5" s="7" t="s">
        <v>19</v>
      </c>
      <c r="H5" s="7" t="s">
        <v>19</v>
      </c>
      <c r="I5" s="8" t="n">
        <f aca="false">IF(G5="+",1,IF(G5="-",-1,0))*$D5</f>
        <v>-0.15</v>
      </c>
      <c r="J5" s="8" t="n">
        <f aca="false">IF(H5="+",1,IF(H5="-",-1,0))*$D5</f>
        <v>-0.15</v>
      </c>
      <c r="K5" s="4" t="s">
        <v>20</v>
      </c>
      <c r="L5" s="4" t="s">
        <v>21</v>
      </c>
    </row>
    <row r="6" customFormat="false" ht="57.75" hidden="false" customHeight="true" outlineLevel="0" collapsed="false">
      <c r="A6" s="4" t="s">
        <v>22</v>
      </c>
      <c r="B6" s="4" t="s">
        <v>23</v>
      </c>
      <c r="C6" s="4" t="s">
        <v>16</v>
      </c>
      <c r="D6" s="5" t="n">
        <v>0.15</v>
      </c>
      <c r="E6" s="4" t="s">
        <v>24</v>
      </c>
      <c r="F6" s="6" t="s">
        <v>18</v>
      </c>
      <c r="G6" s="7" t="s">
        <v>19</v>
      </c>
      <c r="H6" s="7" t="s">
        <v>19</v>
      </c>
      <c r="I6" s="8" t="n">
        <f aca="false">IF(G6="+",1,IF(G6="-",-1,0))*$D6</f>
        <v>-0.15</v>
      </c>
      <c r="J6" s="8" t="n">
        <f aca="false">IF(H6="+",1,IF(H6="-",-1,0))*$D6</f>
        <v>-0.15</v>
      </c>
      <c r="K6" s="4" t="s">
        <v>25</v>
      </c>
      <c r="L6" s="4" t="s">
        <v>26</v>
      </c>
    </row>
    <row r="7" customFormat="false" ht="57.75" hidden="false" customHeight="true" outlineLevel="0" collapsed="false">
      <c r="A7" s="4" t="s">
        <v>27</v>
      </c>
      <c r="B7" s="4" t="s">
        <v>28</v>
      </c>
      <c r="C7" s="4" t="s">
        <v>16</v>
      </c>
      <c r="D7" s="5" t="n">
        <v>0.15</v>
      </c>
      <c r="E7" s="4" t="s">
        <v>29</v>
      </c>
      <c r="F7" s="6" t="s">
        <v>18</v>
      </c>
      <c r="G7" s="7" t="s">
        <v>19</v>
      </c>
      <c r="H7" s="7" t="s">
        <v>30</v>
      </c>
      <c r="I7" s="8" t="n">
        <f aca="false">IF(G7="+",1,IF(G7="-",-1,0))*$D7</f>
        <v>-0.15</v>
      </c>
      <c r="J7" s="8" t="n">
        <f aca="false">IF(H7="+",1,IF(H7="-",-1,0))*$D7</f>
        <v>0.15</v>
      </c>
      <c r="K7" s="4" t="s">
        <v>31</v>
      </c>
      <c r="L7" s="4" t="s">
        <v>32</v>
      </c>
    </row>
    <row r="8" customFormat="false" ht="57.75" hidden="false" customHeight="true" outlineLevel="0" collapsed="false">
      <c r="A8" s="4" t="s">
        <v>33</v>
      </c>
      <c r="B8" s="4" t="s">
        <v>34</v>
      </c>
      <c r="C8" s="4" t="s">
        <v>16</v>
      </c>
      <c r="D8" s="5" t="n">
        <v>0.1</v>
      </c>
      <c r="E8" s="4" t="s">
        <v>35</v>
      </c>
      <c r="F8" s="6" t="s">
        <v>18</v>
      </c>
      <c r="G8" s="7" t="s">
        <v>19</v>
      </c>
      <c r="H8" s="7" t="s">
        <v>30</v>
      </c>
      <c r="I8" s="8" t="n">
        <f aca="false">IF(G8="+",1,IF(G8="-",-1,0))*$D8</f>
        <v>-0.1</v>
      </c>
      <c r="J8" s="8" t="n">
        <f aca="false">IF(H8="+",1,IF(H8="-",-1,0))*$D8</f>
        <v>0.1</v>
      </c>
      <c r="K8" s="4" t="s">
        <v>36</v>
      </c>
      <c r="L8" s="4" t="s">
        <v>37</v>
      </c>
    </row>
    <row r="9" customFormat="false" ht="57.75" hidden="false" customHeight="true" outlineLevel="0" collapsed="false">
      <c r="A9" s="4" t="s">
        <v>38</v>
      </c>
      <c r="B9" s="4" t="s">
        <v>39</v>
      </c>
      <c r="C9" s="4" t="s">
        <v>40</v>
      </c>
      <c r="D9" s="5" t="n">
        <v>0.15</v>
      </c>
      <c r="E9" s="4" t="s">
        <v>41</v>
      </c>
      <c r="F9" s="6" t="s">
        <v>18</v>
      </c>
      <c r="G9" s="7" t="s">
        <v>19</v>
      </c>
      <c r="H9" s="7" t="s">
        <v>19</v>
      </c>
      <c r="I9" s="8" t="n">
        <f aca="false">IF(G9="+",1,IF(G9="-",-1,0))*$D9</f>
        <v>-0.15</v>
      </c>
      <c r="J9" s="8" t="n">
        <f aca="false">IF(H9="+",1,IF(H9="-",-1,0))*$D9</f>
        <v>-0.15</v>
      </c>
      <c r="K9" s="4" t="s">
        <v>42</v>
      </c>
      <c r="L9" s="4" t="s">
        <v>43</v>
      </c>
    </row>
    <row r="10" customFormat="false" ht="57.75" hidden="false" customHeight="true" outlineLevel="0" collapsed="false">
      <c r="A10" s="4" t="s">
        <v>44</v>
      </c>
      <c r="B10" s="4" t="s">
        <v>45</v>
      </c>
      <c r="C10" s="4" t="s">
        <v>40</v>
      </c>
      <c r="D10" s="5" t="n">
        <v>0.1</v>
      </c>
      <c r="E10" s="4" t="s">
        <v>46</v>
      </c>
      <c r="F10" s="6" t="s">
        <v>18</v>
      </c>
      <c r="G10" s="7" t="s">
        <v>19</v>
      </c>
      <c r="H10" s="7" t="s">
        <v>47</v>
      </c>
      <c r="I10" s="8" t="n">
        <f aca="false">IF(G10="+",1,IF(G10="-",-1,0))*$D10</f>
        <v>-0.1</v>
      </c>
      <c r="J10" s="8" t="n">
        <f aca="false">IF(H10="+",1,IF(H10="-",-1,0))*$D10</f>
        <v>0</v>
      </c>
      <c r="K10" s="4" t="s">
        <v>48</v>
      </c>
      <c r="L10" s="4" t="s">
        <v>49</v>
      </c>
    </row>
    <row r="11" customFormat="false" ht="57.75" hidden="false" customHeight="true" outlineLevel="0" collapsed="false">
      <c r="A11" s="4" t="s">
        <v>50</v>
      </c>
      <c r="B11" s="4" t="s">
        <v>51</v>
      </c>
      <c r="C11" s="4" t="s">
        <v>40</v>
      </c>
      <c r="D11" s="5" t="n">
        <v>0.1</v>
      </c>
      <c r="E11" s="4" t="s">
        <v>52</v>
      </c>
      <c r="F11" s="6" t="s">
        <v>18</v>
      </c>
      <c r="G11" s="7" t="s">
        <v>30</v>
      </c>
      <c r="H11" s="7" t="s">
        <v>19</v>
      </c>
      <c r="I11" s="8" t="n">
        <f aca="false">IF(G11="+",1,IF(G11="-",-1,0))*$D11</f>
        <v>0.1</v>
      </c>
      <c r="J11" s="8" t="n">
        <f aca="false">IF(H11="+",1,IF(H11="-",-1,0))*$D11</f>
        <v>-0.1</v>
      </c>
      <c r="K11" s="4" t="s">
        <v>53</v>
      </c>
      <c r="L11" s="4" t="s">
        <v>54</v>
      </c>
    </row>
    <row r="12" customFormat="false" ht="57.75" hidden="false" customHeight="true" outlineLevel="0" collapsed="false">
      <c r="A12" s="4" t="s">
        <v>55</v>
      </c>
      <c r="B12" s="4" t="s">
        <v>56</v>
      </c>
      <c r="C12" s="4" t="s">
        <v>40</v>
      </c>
      <c r="D12" s="5" t="n">
        <v>0.1</v>
      </c>
      <c r="E12" s="4" t="s">
        <v>57</v>
      </c>
      <c r="F12" s="6" t="s">
        <v>18</v>
      </c>
      <c r="G12" s="7" t="s">
        <v>30</v>
      </c>
      <c r="H12" s="7" t="s">
        <v>19</v>
      </c>
      <c r="I12" s="8" t="n">
        <f aca="false">IF(G12="+",1,IF(G12="-",-1,0))*$D12</f>
        <v>0.1</v>
      </c>
      <c r="J12" s="8" t="n">
        <f aca="false">IF(H12="+",1,IF(H12="-",-1,0))*$D12</f>
        <v>-0.1</v>
      </c>
      <c r="K12" s="4" t="s">
        <v>58</v>
      </c>
      <c r="L12" s="4" t="s">
        <v>59</v>
      </c>
    </row>
    <row r="14" customFormat="false" ht="15" hidden="false" customHeight="false" outlineLevel="0" collapsed="false">
      <c r="A14" s="9" t="s">
        <v>60</v>
      </c>
      <c r="B14" s="10" t="n">
        <f aca="false">SUM(D5:D12)</f>
        <v>1</v>
      </c>
    </row>
    <row r="15" customFormat="false" ht="15" hidden="false" customHeight="false" outlineLevel="0" collapsed="false">
      <c r="A15" s="9" t="s">
        <v>61</v>
      </c>
      <c r="B15" s="10" t="n">
        <f aca="false">SUMIF(C5:C12,"Deseabilidad",D5:D12)</f>
        <v>0.55</v>
      </c>
    </row>
    <row r="16" customFormat="false" ht="15" hidden="false" customHeight="false" outlineLevel="0" collapsed="false">
      <c r="A16" s="9" t="s">
        <v>62</v>
      </c>
      <c r="B16" s="11" t="str">
        <f aca="false">IF(B15&gt;=0.4,"Sí","No")</f>
        <v>Sí</v>
      </c>
    </row>
    <row r="17" customFormat="false" ht="15" hidden="false" customHeight="false" outlineLevel="0" collapsed="false">
      <c r="A17" s="9" t="s">
        <v>63</v>
      </c>
      <c r="B17" s="12" t="n">
        <f aca="false">0</f>
        <v>0</v>
      </c>
    </row>
    <row r="18" customFormat="false" ht="15" hidden="false" customHeight="false" outlineLevel="0" collapsed="false">
      <c r="A18" s="9" t="s">
        <v>64</v>
      </c>
      <c r="B18" s="12" t="n">
        <f aca="false">SUM(I5:I12)</f>
        <v>-0.6</v>
      </c>
    </row>
    <row r="19" customFormat="false" ht="15" hidden="false" customHeight="false" outlineLevel="0" collapsed="false">
      <c r="A19" s="9" t="s">
        <v>65</v>
      </c>
      <c r="B19" s="12" t="n">
        <f aca="false">SUM(J5:J12)</f>
        <v>-0.4</v>
      </c>
    </row>
    <row r="20" customFormat="false" ht="15" hidden="false" customHeight="false" outlineLevel="0" collapsed="false">
      <c r="A20" s="9" t="s">
        <v>66</v>
      </c>
      <c r="B20" s="11" t="str">
        <f aca="false">IF(MAX(B17:B19)=B17,"C1 — Planta en corte",IF(MAX(B17:B19)=B18,"C2 — Sala de control","C3 — Primer turno"))</f>
        <v>C1 — Planta en corte</v>
      </c>
    </row>
    <row r="22" customFormat="false" ht="15" hidden="false" customHeight="false" outlineLevel="0" collapsed="false">
      <c r="A22" s="13" t="s">
        <v>67</v>
      </c>
    </row>
    <row r="23" customFormat="false" ht="15" hidden="false" customHeight="false" outlineLevel="0" collapsed="false">
      <c r="A23" s="14" t="s">
        <v>68</v>
      </c>
    </row>
    <row r="24" customFormat="false" ht="15" hidden="false" customHeight="false" outlineLevel="0" collapsed="false">
      <c r="A24" s="9" t="s">
        <v>69</v>
      </c>
      <c r="B24" s="15" t="n">
        <f aca="false">B19-J5-J6</f>
        <v>-0.1</v>
      </c>
    </row>
    <row r="25" customFormat="false" ht="15" hidden="false" customHeight="false" outlineLevel="0" collapsed="false">
      <c r="A25" s="9" t="s">
        <v>70</v>
      </c>
      <c r="B25" s="9" t="str">
        <f aca="false">IF(B24&lt;0,"Sí: C3 pierde por factibilidad (F1, F3, F4)","No")</f>
        <v>Sí: C3 pierde por factibilidad (F1, F3, F4)</v>
      </c>
    </row>
    <row r="27" customFormat="false" ht="15" hidden="false" customHeight="false" outlineLevel="0" collapsed="false">
      <c r="A27" s="9" t="s">
        <v>71</v>
      </c>
    </row>
    <row r="28" customFormat="false" ht="15" hidden="false" customHeight="false" outlineLevel="0" collapsed="false">
      <c r="A28" s="16" t="s">
        <v>72</v>
      </c>
    </row>
    <row r="29" customFormat="false" ht="15" hidden="false" customHeight="false" outlineLevel="0" collapsed="false">
      <c r="A29" s="16" t="s">
        <v>73</v>
      </c>
    </row>
    <row r="30" customFormat="false" ht="15" hidden="false" customHeight="false" outlineLevel="0" collapsed="false">
      <c r="A30" s="1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34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26.85" hidden="false" customHeight="false" outlineLevel="0" collapsed="false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</row>
    <row r="2" customFormat="false" ht="61.5" hidden="false" customHeight="true" outlineLevel="0" collapsed="false">
      <c r="A2" s="4" t="s">
        <v>81</v>
      </c>
      <c r="B2" s="4" t="s">
        <v>82</v>
      </c>
      <c r="C2" s="4" t="s">
        <v>83</v>
      </c>
      <c r="D2" s="4" t="s">
        <v>83</v>
      </c>
      <c r="E2" s="4" t="s">
        <v>84</v>
      </c>
      <c r="F2" s="4" t="s">
        <v>85</v>
      </c>
    </row>
    <row r="3" customFormat="false" ht="61.5" hidden="false" customHeight="true" outlineLevel="0" collapsed="false">
      <c r="A3" s="4" t="s">
        <v>86</v>
      </c>
      <c r="B3" s="4" t="s">
        <v>82</v>
      </c>
      <c r="C3" s="4" t="s">
        <v>87</v>
      </c>
      <c r="D3" s="4" t="s">
        <v>88</v>
      </c>
      <c r="E3" s="4" t="s">
        <v>89</v>
      </c>
      <c r="F3" s="4" t="s">
        <v>90</v>
      </c>
    </row>
    <row r="4" customFormat="false" ht="61.5" hidden="false" customHeight="true" outlineLevel="0" collapsed="false">
      <c r="A4" s="4" t="s">
        <v>91</v>
      </c>
      <c r="B4" s="4" t="s">
        <v>92</v>
      </c>
      <c r="C4" s="4" t="s">
        <v>83</v>
      </c>
      <c r="D4" s="4" t="s">
        <v>83</v>
      </c>
      <c r="E4" s="4" t="s">
        <v>93</v>
      </c>
      <c r="F4" s="4" t="s">
        <v>94</v>
      </c>
    </row>
    <row r="5" customFormat="false" ht="61.5" hidden="false" customHeight="true" outlineLevel="0" collapsed="false">
      <c r="A5" s="4" t="s">
        <v>95</v>
      </c>
      <c r="B5" s="4" t="s">
        <v>92</v>
      </c>
      <c r="C5" s="4" t="s">
        <v>96</v>
      </c>
      <c r="D5" s="4" t="s">
        <v>97</v>
      </c>
      <c r="E5" s="4" t="s">
        <v>98</v>
      </c>
      <c r="F5" s="4" t="s">
        <v>99</v>
      </c>
    </row>
    <row r="6" customFormat="false" ht="61.5" hidden="false" customHeight="true" outlineLevel="0" collapsed="false">
      <c r="A6" s="4" t="s">
        <v>100</v>
      </c>
      <c r="B6" s="4" t="s">
        <v>101</v>
      </c>
      <c r="C6" s="4" t="s">
        <v>83</v>
      </c>
      <c r="D6" s="4" t="s">
        <v>83</v>
      </c>
      <c r="E6" s="4" t="s">
        <v>102</v>
      </c>
      <c r="F6" s="4" t="s">
        <v>103</v>
      </c>
    </row>
    <row r="7" customFormat="false" ht="61.5" hidden="false" customHeight="true" outlineLevel="0" collapsed="false">
      <c r="A7" s="4" t="s">
        <v>104</v>
      </c>
      <c r="B7" s="4" t="s">
        <v>101</v>
      </c>
      <c r="C7" s="4" t="s">
        <v>105</v>
      </c>
      <c r="D7" s="4" t="s">
        <v>106</v>
      </c>
      <c r="E7" s="4" t="s">
        <v>102</v>
      </c>
      <c r="F7" s="4" t="s">
        <v>107</v>
      </c>
    </row>
    <row r="9" customFormat="false" ht="15" hidden="false" customHeight="false" outlineLevel="0" collapsed="false">
      <c r="A9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5</v>
      </c>
      <c r="D4" s="3" t="s">
        <v>111</v>
      </c>
      <c r="E4" s="3" t="s">
        <v>112</v>
      </c>
      <c r="F4" s="3" t="s">
        <v>113</v>
      </c>
    </row>
    <row r="5" customFormat="false" ht="36" hidden="false" customHeight="true" outlineLevel="0" collapsed="false">
      <c r="A5" s="17" t="str">
        <f aca="false">'Matriz de Pugh'!A5</f>
        <v>D1</v>
      </c>
      <c r="B5" s="18" t="str">
        <f aca="false">'Matriz de Pugh'!B5</f>
        <v>Pin ↔ máquina legible</v>
      </c>
      <c r="C5" s="19" t="n">
        <f aca="false">'Matriz de Pugh'!D5</f>
        <v>0.15</v>
      </c>
      <c r="D5" s="7" t="s">
        <v>47</v>
      </c>
      <c r="E5" s="8" t="n">
        <f aca="false">IF(D5="+",1,IF(D5="-",-1,0))*C5</f>
        <v>0</v>
      </c>
      <c r="F5" s="4" t="s">
        <v>114</v>
      </c>
    </row>
    <row r="6" customFormat="false" ht="36" hidden="false" customHeight="true" outlineLevel="0" collapsed="false">
      <c r="A6" s="17" t="str">
        <f aca="false">'Matriz de Pugh'!A6</f>
        <v>D2</v>
      </c>
      <c r="B6" s="18" t="str">
        <f aca="false">'Matriz de Pugh'!B6</f>
        <v>Estado visible de un vistazo</v>
      </c>
      <c r="C6" s="19" t="n">
        <f aca="false">'Matriz de Pugh'!D6</f>
        <v>0.15</v>
      </c>
      <c r="D6" s="7" t="s">
        <v>30</v>
      </c>
      <c r="E6" s="8" t="n">
        <f aca="false">IF(D6="+",1,IF(D6="-",-1,0))*C6</f>
        <v>0.15</v>
      </c>
      <c r="F6" s="4" t="s">
        <v>115</v>
      </c>
    </row>
    <row r="7" customFormat="false" ht="36" hidden="false" customHeight="true" outlineLevel="0" collapsed="false">
      <c r="A7" s="17" t="str">
        <f aca="false">'Matriz de Pugh'!A7</f>
        <v>D3</v>
      </c>
      <c r="B7" s="18" t="str">
        <f aca="false">'Matriz de Pugh'!B7</f>
        <v>Se siente juego, no clase</v>
      </c>
      <c r="C7" s="19" t="n">
        <f aca="false">'Matriz de Pugh'!D7</f>
        <v>0.15</v>
      </c>
      <c r="D7" s="7" t="s">
        <v>30</v>
      </c>
      <c r="E7" s="8" t="n">
        <f aca="false">IF(D7="+",1,IF(D7="-",-1,0))*C7</f>
        <v>0.15</v>
      </c>
      <c r="F7" s="4" t="s">
        <v>116</v>
      </c>
    </row>
    <row r="8" customFormat="false" ht="36" hidden="false" customHeight="true" outlineLevel="0" collapsed="false">
      <c r="A8" s="17" t="str">
        <f aca="false">'Matriz de Pugh'!A8</f>
        <v>D4</v>
      </c>
      <c r="B8" s="18" t="str">
        <f aca="false">'Matriz de Pugh'!B8</f>
        <v>Primeros 30 s sin instrucciones</v>
      </c>
      <c r="C8" s="19" t="n">
        <f aca="false">'Matriz de Pugh'!D8</f>
        <v>0.1</v>
      </c>
      <c r="D8" s="7" t="s">
        <v>30</v>
      </c>
      <c r="E8" s="8" t="n">
        <f aca="false">IF(D8="+",1,IF(D8="-",-1,0))*C8</f>
        <v>0.1</v>
      </c>
      <c r="F8" s="4" t="s">
        <v>117</v>
      </c>
    </row>
    <row r="9" customFormat="false" ht="36" hidden="false" customHeight="true" outlineLevel="0" collapsed="false">
      <c r="A9" s="17" t="str">
        <f aca="false">'Matriz de Pugh'!A9</f>
        <v>F1</v>
      </c>
      <c r="B9" s="18" t="str">
        <f aca="false">'Matriz de Pugh'!B9</f>
        <v>Horas de producción</v>
      </c>
      <c r="C9" s="19" t="n">
        <f aca="false">'Matriz de Pugh'!D9</f>
        <v>0.15</v>
      </c>
      <c r="D9" s="7" t="s">
        <v>19</v>
      </c>
      <c r="E9" s="8" t="n">
        <f aca="false">IF(D9="+",1,IF(D9="-",-1,0))*C9</f>
        <v>-0.15</v>
      </c>
      <c r="F9" s="4" t="s">
        <v>118</v>
      </c>
    </row>
    <row r="10" customFormat="false" ht="36" hidden="false" customHeight="true" outlineLevel="0" collapsed="false">
      <c r="A10" s="17" t="str">
        <f aca="false">'Matriz de Pugh'!A10</f>
        <v>F2</v>
      </c>
      <c r="B10" s="18" t="str">
        <f aca="false">'Matriz de Pugh'!B10</f>
        <v>Riesgo técnico en Godot 4</v>
      </c>
      <c r="C10" s="19" t="n">
        <f aca="false">'Matriz de Pugh'!D10</f>
        <v>0.1</v>
      </c>
      <c r="D10" s="7" t="s">
        <v>47</v>
      </c>
      <c r="E10" s="8" t="n">
        <f aca="false">IF(D10="+",1,IF(D10="-",-1,0))*C10</f>
        <v>0</v>
      </c>
      <c r="F10" s="4" t="s">
        <v>119</v>
      </c>
    </row>
    <row r="11" customFormat="false" ht="36" hidden="false" customHeight="true" outlineLevel="0" collapsed="false">
      <c r="A11" s="17" t="str">
        <f aca="false">'Matriz de Pugh'!A11</f>
        <v>F3</v>
      </c>
      <c r="B11" s="18" t="str">
        <f aca="false">'Matriz de Pugh'!B11</f>
        <v>Assets con licencia compatible</v>
      </c>
      <c r="C11" s="19" t="n">
        <f aca="false">'Matriz de Pugh'!D11</f>
        <v>0.1</v>
      </c>
      <c r="D11" s="7" t="s">
        <v>19</v>
      </c>
      <c r="E11" s="8" t="n">
        <f aca="false">IF(D11="+",1,IF(D11="-",-1,0))*C11</f>
        <v>-0.1</v>
      </c>
      <c r="F11" s="4" t="s">
        <v>120</v>
      </c>
    </row>
    <row r="12" customFormat="false" ht="36" hidden="false" customHeight="true" outlineLevel="0" collapsed="false">
      <c r="A12" s="17" t="str">
        <f aca="false">'Matriz de Pugh'!A12</f>
        <v>F4</v>
      </c>
      <c r="B12" s="18" t="str">
        <f aca="false">'Matriz de Pugh'!B12</f>
        <v>Escalabilidad a 5 niveles</v>
      </c>
      <c r="C12" s="19" t="n">
        <f aca="false">'Matriz de Pugh'!D12</f>
        <v>0.1</v>
      </c>
      <c r="D12" s="7" t="s">
        <v>19</v>
      </c>
      <c r="E12" s="8" t="n">
        <f aca="false">IF(D12="+",1,IF(D12="-",-1,0))*C12</f>
        <v>-0.1</v>
      </c>
      <c r="F12" s="4" t="s">
        <v>121</v>
      </c>
    </row>
    <row r="14" customFormat="false" ht="15" hidden="false" customHeight="false" outlineLevel="0" collapsed="false">
      <c r="B14" s="9" t="s">
        <v>122</v>
      </c>
      <c r="E14" s="15" t="n">
        <f aca="false">SUM(E5:E12)</f>
        <v>0.05</v>
      </c>
    </row>
    <row r="15" customFormat="false" ht="15" hidden="false" customHeight="false" outlineLevel="0" collapsed="false">
      <c r="B15" s="9" t="s">
        <v>123</v>
      </c>
      <c r="E15" s="9" t="str">
        <f aca="false">IF(E14&gt;0,"Supera al datum",IF(E14=0,"Empata con el datum","Pierde contra el datum"))</f>
        <v>Supera al datum</v>
      </c>
    </row>
    <row r="17" customFormat="false" ht="15" hidden="false" customHeight="false" outlineLevel="0" collapsed="false">
      <c r="A17" s="9" t="s">
        <v>124</v>
      </c>
    </row>
    <row r="18" customFormat="false" ht="15" hidden="false" customHeight="false" outlineLevel="0" collapsed="false">
      <c r="A18" s="16" t="s">
        <v>125</v>
      </c>
    </row>
    <row r="19" customFormat="false" ht="15" hidden="false" customHeight="false" outlineLevel="0" collapsed="false">
      <c r="A19" s="16" t="s">
        <v>126</v>
      </c>
    </row>
    <row r="20" customFormat="false" ht="15" hidden="false" customHeight="false" outlineLevel="0" collapsed="false">
      <c r="A20" s="1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2026-10-02T03:23:44Z</dcterms:created>
  <dc:creator>openpyxl</dc:creator>
  <dc:description/>
  <dc:language>en-US</dc:language>
  <cp:lastModifiedBy/>
  <dcterms:modified xsi:type="dcterms:W3CDTF">2026-10-02T03:23:44Z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